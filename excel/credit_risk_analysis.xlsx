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coding\claude\python-learning-journey\financial-risk-analysis\excel\"/>
    </mc:Choice>
  </mc:AlternateContent>
  <bookViews>
    <workbookView xWindow="0" yWindow="0" windowWidth="23040" windowHeight="8688" activeTab="1"/>
  </bookViews>
  <sheets>
    <sheet name="Age Risk Analysis" sheetId="3" r:id="rId1"/>
    <sheet name="Risk Matrix" sheetId="4" r:id="rId2"/>
    <sheet name="Risk Segment Analysis" sheetId="2" r:id="rId3"/>
    <sheet name="Age Group Analysis" sheetId="1" r:id="rId4"/>
  </sheets>
  <calcPr calcId="0"/>
  <pivotCaches>
    <pivotCache cacheId="2" r:id="rId5"/>
    <pivotCache cacheId="6" r:id="rId6"/>
  </pivotCaches>
</workbook>
</file>

<file path=xl/sharedStrings.xml><?xml version="1.0" encoding="utf-8"?>
<sst xmlns="http://schemas.openxmlformats.org/spreadsheetml/2006/main" count="73" uniqueCount="28">
  <si>
    <t>age_group</t>
  </si>
  <si>
    <t>total_applicants</t>
  </si>
  <si>
    <t>total_defaults</t>
  </si>
  <si>
    <t>default_rate</t>
  </si>
  <si>
    <t>avg_income</t>
  </si>
  <si>
    <t>avg_utilization</t>
  </si>
  <si>
    <t>18-30</t>
  </si>
  <si>
    <t>31-40</t>
  </si>
  <si>
    <t>41-50</t>
  </si>
  <si>
    <t>51-60</t>
  </si>
  <si>
    <t>60+</t>
  </si>
  <si>
    <t>income_group</t>
  </si>
  <si>
    <t>utilization_risk</t>
  </si>
  <si>
    <t>High ($6K-$10K)</t>
  </si>
  <si>
    <t>High (60-90%)</t>
  </si>
  <si>
    <t>Low (0-30%)</t>
  </si>
  <si>
    <t>Medium (30-60%)</t>
  </si>
  <si>
    <t>Very High (90%+)</t>
  </si>
  <si>
    <t>Low (&lt;$3K)</t>
  </si>
  <si>
    <t>Mid ($3K-$6K)</t>
  </si>
  <si>
    <t>Very High ($10K+)</t>
  </si>
  <si>
    <t>Row Labels</t>
  </si>
  <si>
    <t>Grand Total</t>
  </si>
  <si>
    <t>Sum of total_applicants</t>
  </si>
  <si>
    <t>Sum of total_defaults</t>
  </si>
  <si>
    <t>Average of default_rate</t>
  </si>
  <si>
    <t>Average of avg_income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</si>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</sst>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7">
    <dxf>
      <numFmt numFmtId="13" formatCode="0%"/>
    </dxf>
    <dxf>
      <numFmt numFmtId="13" formatCode="0%"/>
    </dxf>
    <dxf>
      <numFmt numFmtId="34" formatCode="_ &quot;₹&quot;\ * #,##0.00_ ;_ &quot;₹&quot;\ * \-#,##0.00_ ;_ &quot;₹&quot;\ * &quot;-&quot;??_ ;_ @_ "/>
    </dxf>
    <dxf>
      <numFmt numFmtId="164" formatCode="_-[$$-409]* #,##0.00_ ;_-[$$-409]* \-#,##0.00\ ;_-[$$-409]* &quot;-&quot;??_ ;_-@_ "/>
    </dxf>
    <dxf>
      <numFmt numFmtId="34" formatCode="_ &quot;₹&quot;\ * #,##0.00_ ;_ &quot;₹&quot;\ * \-#,##0.00_ ;_ &quot;₹&quot;\ * &quot;-&quot;??_ ;_ @_ "/>
    </dxf>
    <dxf>
      <numFmt numFmtId="13" formatCode="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[credit_risk_analysis.xlsx]Age Risk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Default Rate by Age Group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Risk Analysis'!$B$3</c:f>
              <c:strCache>
                <c:ptCount val="1"/>
                <c:pt idx="0">
                  <c:v>Sum of total_defaults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Risk Analysis'!$A$4:$A$9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60+</c:v>
                </c:pt>
              </c:strCache>
            </c:strRef>
          </c:cat>
          <c:val>
            <c:numRef>
              <c:f>'Age Risk Analysis'!$B$4:$B$9</c:f>
              <c:numCache>
                <c:formatCode>General</c:formatCode>
                <c:ptCount val="5"/>
                <c:pt idx="0">
                  <c:v>1025</c:v>
                </c:pt>
                <c:pt idx="1">
                  <c:v>2008</c:v>
                </c:pt>
                <c:pt idx="2">
                  <c:v>2418</c:v>
                </c:pt>
                <c:pt idx="3">
                  <c:v>1776</c:v>
                </c:pt>
                <c:pt idx="4">
                  <c:v>1067</c:v>
                </c:pt>
              </c:numCache>
            </c:numRef>
          </c:val>
        </c:ser>
        <c:ser>
          <c:idx val="1"/>
          <c:order val="1"/>
          <c:tx>
            <c:strRef>
              <c:f>'Age Risk Analysis'!$C$3</c:f>
              <c:strCache>
                <c:ptCount val="1"/>
                <c:pt idx="0">
                  <c:v>Sum of total_applicants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'Age Risk Analysis'!$A$4:$A$9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60+</c:v>
                </c:pt>
              </c:strCache>
            </c:strRef>
          </c:cat>
          <c:val>
            <c:numRef>
              <c:f>'Age Risk Analysis'!$C$4:$C$9</c:f>
              <c:numCache>
                <c:formatCode>General</c:formatCode>
                <c:ptCount val="5"/>
                <c:pt idx="0">
                  <c:v>9134</c:v>
                </c:pt>
                <c:pt idx="1">
                  <c:v>20714</c:v>
                </c:pt>
                <c:pt idx="2">
                  <c:v>29167</c:v>
                </c:pt>
                <c:pt idx="3">
                  <c:v>27817</c:v>
                </c:pt>
                <c:pt idx="4">
                  <c:v>33833</c:v>
                </c:pt>
              </c:numCache>
            </c:numRef>
          </c:val>
        </c:ser>
        <c:ser>
          <c:idx val="2"/>
          <c:order val="2"/>
          <c:tx>
            <c:strRef>
              <c:f>'Age Risk Analysis'!$D$3</c:f>
              <c:strCache>
                <c:ptCount val="1"/>
                <c:pt idx="0">
                  <c:v>Average of default_rate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'Age Risk Analysis'!$A$4:$A$9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60+</c:v>
                </c:pt>
              </c:strCache>
            </c:strRef>
          </c:cat>
          <c:val>
            <c:numRef>
              <c:f>'Age Risk Analysis'!$D$4:$D$9</c:f>
              <c:numCache>
                <c:formatCode>0%</c:formatCode>
                <c:ptCount val="5"/>
                <c:pt idx="0">
                  <c:v>11.22</c:v>
                </c:pt>
                <c:pt idx="1">
                  <c:v>9.69</c:v>
                </c:pt>
                <c:pt idx="2">
                  <c:v>8.2899999999999991</c:v>
                </c:pt>
                <c:pt idx="3">
                  <c:v>6.38</c:v>
                </c:pt>
                <c:pt idx="4">
                  <c:v>3.15</c:v>
                </c:pt>
              </c:numCache>
            </c:numRef>
          </c:val>
        </c:ser>
        <c:ser>
          <c:idx val="3"/>
          <c:order val="3"/>
          <c:tx>
            <c:strRef>
              <c:f>'Age Risk Analysis'!$E$3</c:f>
              <c:strCache>
                <c:ptCount val="1"/>
                <c:pt idx="0">
                  <c:v>Average of avg_income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'Age Risk Analysis'!$A$4:$A$9</c:f>
              <c:strCache>
                <c:ptCount val="5"/>
                <c:pt idx="0">
                  <c:v>18-30</c:v>
                </c:pt>
                <c:pt idx="1">
                  <c:v>31-40</c:v>
                </c:pt>
                <c:pt idx="2">
                  <c:v>41-50</c:v>
                </c:pt>
                <c:pt idx="3">
                  <c:v>51-60</c:v>
                </c:pt>
                <c:pt idx="4">
                  <c:v>60+</c:v>
                </c:pt>
              </c:strCache>
            </c:strRef>
          </c:cat>
          <c:val>
            <c:numRef>
              <c:f>'Age Risk Analysis'!$E$4:$E$9</c:f>
              <c:numCache>
                <c:formatCode>_-[$$-409]* #,##0.00_ ;_-[$$-409]* \-#,##0.00\ ;_-[$$-409]* "-"??_ ;_-@_ </c:formatCode>
                <c:ptCount val="5"/>
                <c:pt idx="0">
                  <c:v>3412</c:v>
                </c:pt>
                <c:pt idx="1">
                  <c:v>5839</c:v>
                </c:pt>
                <c:pt idx="2">
                  <c:v>7463</c:v>
                </c:pt>
                <c:pt idx="3">
                  <c:v>7823</c:v>
                </c:pt>
                <c:pt idx="4">
                  <c:v>6723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8057848"/>
        <c:axId val="388058240"/>
      </c:barChart>
      <c:catAx>
        <c:axId val="388057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58240"/>
        <c:crosses val="autoZero"/>
        <c:auto val="1"/>
        <c:lblAlgn val="ctr"/>
        <c:lblOffset val="100"/>
        <c:noMultiLvlLbl val="0"/>
      </c:catAx>
      <c:valAx>
        <c:axId val="38805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05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[credit_risk_analysis.xlsx]Risk Matrix!PivotTable2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Risk Matrix: Income vs Credit Utilization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'Risk Matrix'!$B$3:$B$4</c:f>
              <c:strCache>
                <c:ptCount val="1"/>
                <c:pt idx="0">
                  <c:v>High (60-90%)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Matrix'!$A$5:$A$9</c:f>
              <c:strCache>
                <c:ptCount val="4"/>
                <c:pt idx="0">
                  <c:v>High ($6K-$10K)</c:v>
                </c:pt>
                <c:pt idx="1">
                  <c:v>Low (&lt;$3K)</c:v>
                </c:pt>
                <c:pt idx="2">
                  <c:v>Mid ($3K-$6K)</c:v>
                </c:pt>
                <c:pt idx="3">
                  <c:v>Very High ($10K+)</c:v>
                </c:pt>
              </c:strCache>
            </c:strRef>
          </c:cat>
          <c:val>
            <c:numRef>
              <c:f>'Risk Matrix'!$B$5:$B$9</c:f>
              <c:numCache>
                <c:formatCode>0%</c:formatCode>
                <c:ptCount val="4"/>
                <c:pt idx="0">
                  <c:v>12.61</c:v>
                </c:pt>
                <c:pt idx="1">
                  <c:v>14.7</c:v>
                </c:pt>
                <c:pt idx="2">
                  <c:v>14.06</c:v>
                </c:pt>
                <c:pt idx="3">
                  <c:v>9.43</c:v>
                </c:pt>
              </c:numCache>
            </c:numRef>
          </c:val>
        </c:ser>
        <c:ser>
          <c:idx val="1"/>
          <c:order val="1"/>
          <c:tx>
            <c:strRef>
              <c:f>'Risk Matrix'!$C$3:$C$4</c:f>
              <c:strCache>
                <c:ptCount val="1"/>
                <c:pt idx="0">
                  <c:v>Low (0-30%)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'Risk Matrix'!$A$5:$A$9</c:f>
              <c:strCache>
                <c:ptCount val="4"/>
                <c:pt idx="0">
                  <c:v>High ($6K-$10K)</c:v>
                </c:pt>
                <c:pt idx="1">
                  <c:v>Low (&lt;$3K)</c:v>
                </c:pt>
                <c:pt idx="2">
                  <c:v>Mid ($3K-$6K)</c:v>
                </c:pt>
                <c:pt idx="3">
                  <c:v>Very High ($10K+)</c:v>
                </c:pt>
              </c:strCache>
            </c:strRef>
          </c:cat>
          <c:val>
            <c:numRef>
              <c:f>'Risk Matrix'!$C$5:$C$9</c:f>
              <c:numCache>
                <c:formatCode>0%</c:formatCode>
                <c:ptCount val="4"/>
                <c:pt idx="0">
                  <c:v>2.29</c:v>
                </c:pt>
                <c:pt idx="1">
                  <c:v>2.98</c:v>
                </c:pt>
                <c:pt idx="2">
                  <c:v>2.44</c:v>
                </c:pt>
                <c:pt idx="3">
                  <c:v>2.0099999999999998</c:v>
                </c:pt>
              </c:numCache>
            </c:numRef>
          </c:val>
        </c:ser>
        <c:ser>
          <c:idx val="2"/>
          <c:order val="2"/>
          <c:tx>
            <c:strRef>
              <c:f>'Risk Matrix'!$D$3:$D$4</c:f>
              <c:strCache>
                <c:ptCount val="1"/>
                <c:pt idx="0">
                  <c:v>Medium (30-60%)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'Risk Matrix'!$A$5:$A$9</c:f>
              <c:strCache>
                <c:ptCount val="4"/>
                <c:pt idx="0">
                  <c:v>High ($6K-$10K)</c:v>
                </c:pt>
                <c:pt idx="1">
                  <c:v>Low (&lt;$3K)</c:v>
                </c:pt>
                <c:pt idx="2">
                  <c:v>Mid ($3K-$6K)</c:v>
                </c:pt>
                <c:pt idx="3">
                  <c:v>Very High ($10K+)</c:v>
                </c:pt>
              </c:strCache>
            </c:strRef>
          </c:cat>
          <c:val>
            <c:numRef>
              <c:f>'Risk Matrix'!$D$5:$D$9</c:f>
              <c:numCache>
                <c:formatCode>0%</c:formatCode>
                <c:ptCount val="4"/>
                <c:pt idx="0">
                  <c:v>5.68</c:v>
                </c:pt>
                <c:pt idx="1">
                  <c:v>8.27</c:v>
                </c:pt>
                <c:pt idx="2">
                  <c:v>7.62</c:v>
                </c:pt>
                <c:pt idx="3">
                  <c:v>5.23</c:v>
                </c:pt>
              </c:numCache>
            </c:numRef>
          </c:val>
        </c:ser>
        <c:ser>
          <c:idx val="3"/>
          <c:order val="3"/>
          <c:tx>
            <c:strRef>
              <c:f>'Risk Matrix'!$E$3:$E$4</c:f>
              <c:strCache>
                <c:ptCount val="1"/>
                <c:pt idx="0">
                  <c:v>Very High (90%+)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'Risk Matrix'!$A$5:$A$9</c:f>
              <c:strCache>
                <c:ptCount val="4"/>
                <c:pt idx="0">
                  <c:v>High ($6K-$10K)</c:v>
                </c:pt>
                <c:pt idx="1">
                  <c:v>Low (&lt;$3K)</c:v>
                </c:pt>
                <c:pt idx="2">
                  <c:v>Mid ($3K-$6K)</c:v>
                </c:pt>
                <c:pt idx="3">
                  <c:v>Very High ($10K+)</c:v>
                </c:pt>
              </c:strCache>
            </c:strRef>
          </c:cat>
          <c:val>
            <c:numRef>
              <c:f>'Risk Matrix'!$E$5:$E$9</c:f>
              <c:numCache>
                <c:formatCode>0%</c:formatCode>
                <c:ptCount val="4"/>
                <c:pt idx="0">
                  <c:v>20.11</c:v>
                </c:pt>
                <c:pt idx="1">
                  <c:v>23.42</c:v>
                </c:pt>
                <c:pt idx="2">
                  <c:v>23.46</c:v>
                </c:pt>
                <c:pt idx="3">
                  <c:v>16.489999999999998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788336"/>
        <c:axId val="384911600"/>
      </c:barChart>
      <c:catAx>
        <c:axId val="49878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11600"/>
        <c:crosses val="autoZero"/>
        <c:auto val="1"/>
        <c:lblAlgn val="ctr"/>
        <c:lblOffset val="100"/>
        <c:noMultiLvlLbl val="0"/>
      </c:catAx>
      <c:valAx>
        <c:axId val="38491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7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0</xdr:row>
      <xdr:rowOff>167640</xdr:rowOff>
    </xdr:from>
    <xdr:to>
      <xdr:col>13</xdr:col>
      <xdr:colOff>7620</xdr:colOff>
      <xdr:row>16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156210</xdr:rowOff>
    </xdr:from>
    <xdr:to>
      <xdr:col>13</xdr:col>
      <xdr:colOff>601980</xdr:colOff>
      <xdr:row>15</xdr:row>
      <xdr:rowOff>156210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00.811280555557" createdVersion="5" refreshedVersion="5" minRefreshableVersion="3" recordCount="5">
  <cacheSource type="worksheet">
    <worksheetSource ref="A1:F6" sheet="Age Group Analysis"/>
  </cacheSource>
  <cacheFields count="6">
    <cacheField name="age_group" numFmtId="0">
      <sharedItems count="5">
        <s v="18-30"/>
        <s v="31-40"/>
        <s v="41-50"/>
        <s v="51-60"/>
        <s v="60+"/>
      </sharedItems>
    </cacheField>
    <cacheField name="total_applicants" numFmtId="0">
      <sharedItems containsSemiMixedTypes="0" containsString="0" containsNumber="1" containsInteger="1" minValue="9134" maxValue="33833"/>
    </cacheField>
    <cacheField name="total_defaults" numFmtId="0">
      <sharedItems containsSemiMixedTypes="0" containsString="0" containsNumber="1" containsInteger="1" minValue="1025" maxValue="2418"/>
    </cacheField>
    <cacheField name="default_rate" numFmtId="0">
      <sharedItems containsSemiMixedTypes="0" containsString="0" containsNumber="1" minValue="3.15" maxValue="11.22"/>
    </cacheField>
    <cacheField name="avg_income" numFmtId="0">
      <sharedItems containsSemiMixedTypes="0" containsString="0" containsNumber="1" containsInteger="1" minValue="3412" maxValue="7823"/>
    </cacheField>
    <cacheField name="avg_utilization" numFmtId="0">
      <sharedItems containsSemiMixedTypes="0" containsString="0" containsNumber="1" minValue="20.69" maxValue="49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200.818536574072" createdVersion="5" refreshedVersion="5" minRefreshableVersion="3" recordCount="16">
  <cacheSource type="worksheet">
    <worksheetSource ref="A1:F17" sheet="Risk Segment Analysis"/>
  </cacheSource>
  <cacheFields count="6">
    <cacheField name="income_group" numFmtId="0">
      <sharedItems count="4">
        <s v="High ($6K-$10K)"/>
        <s v="Low (&lt;$3K)"/>
        <s v="Mid ($3K-$6K)"/>
        <s v="Very High ($10K+)"/>
      </sharedItems>
    </cacheField>
    <cacheField name="utilization_risk" numFmtId="0">
      <sharedItems count="4">
        <s v="High (60-90%)"/>
        <s v="Low (0-30%)"/>
        <s v="Medium (30-60%)"/>
        <s v="Very High (90%+)"/>
      </sharedItems>
    </cacheField>
    <cacheField name="total_applicants" numFmtId="0">
      <sharedItems containsSemiMixedTypes="0" containsString="0" containsNumber="1" containsInteger="1" minValue="1249" maxValue="27775"/>
    </cacheField>
    <cacheField name="total_defaults" numFmtId="0">
      <sharedItems containsSemiMixedTypes="0" containsString="0" containsNumber="1" containsInteger="1" minValue="159" maxValue="1608"/>
    </cacheField>
    <cacheField name="default_rate" numFmtId="0">
      <sharedItems containsSemiMixedTypes="0" containsString="0" containsNumber="1" minValue="2.0099999999999998" maxValue="23.46"/>
    </cacheField>
    <cacheField name="avg_income" numFmtId="0">
      <sharedItems containsSemiMixedTypes="0" containsString="0" containsNumber="1" containsInteger="1" minValue="1994" maxValue="16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9134"/>
    <n v="1025"/>
    <n v="11.22"/>
    <n v="3412"/>
    <n v="49.95"/>
  </r>
  <r>
    <x v="1"/>
    <n v="20714"/>
    <n v="2008"/>
    <n v="9.69"/>
    <n v="5839"/>
    <n v="42.24"/>
  </r>
  <r>
    <x v="2"/>
    <n v="29167"/>
    <n v="2418"/>
    <n v="8.2899999999999991"/>
    <n v="7463"/>
    <n v="36.69"/>
  </r>
  <r>
    <x v="3"/>
    <n v="27817"/>
    <n v="1776"/>
    <n v="6.38"/>
    <n v="7823"/>
    <n v="31.2"/>
  </r>
  <r>
    <x v="4"/>
    <n v="33833"/>
    <n v="1067"/>
    <n v="3.15"/>
    <n v="6723"/>
    <n v="20.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">
  <r>
    <x v="0"/>
    <x v="0"/>
    <n v="3649"/>
    <n v="460"/>
    <n v="12.61"/>
    <n v="7737"/>
  </r>
  <r>
    <x v="0"/>
    <x v="1"/>
    <n v="20778"/>
    <n v="476"/>
    <n v="2.29"/>
    <n v="7846"/>
  </r>
  <r>
    <x v="0"/>
    <x v="2"/>
    <n v="5530"/>
    <n v="314"/>
    <n v="5.68"/>
    <n v="7776"/>
  </r>
  <r>
    <x v="0"/>
    <x v="3"/>
    <n v="2800"/>
    <n v="563"/>
    <n v="20.11"/>
    <n v="7670"/>
  </r>
  <r>
    <x v="1"/>
    <x v="0"/>
    <n v="2462"/>
    <n v="362"/>
    <n v="14.7"/>
    <n v="2119"/>
  </r>
  <r>
    <x v="1"/>
    <x v="1"/>
    <n v="12160"/>
    <n v="362"/>
    <n v="2.98"/>
    <n v="2078"/>
  </r>
  <r>
    <x v="1"/>
    <x v="2"/>
    <n v="3106"/>
    <n v="257"/>
    <n v="8.27"/>
    <n v="2122"/>
  </r>
  <r>
    <x v="1"/>
    <x v="3"/>
    <n v="4991"/>
    <n v="1169"/>
    <n v="23.42"/>
    <n v="1994"/>
  </r>
  <r>
    <x v="2"/>
    <x v="0"/>
    <n v="5070"/>
    <n v="713"/>
    <n v="14.06"/>
    <n v="4512"/>
  </r>
  <r>
    <x v="2"/>
    <x v="1"/>
    <n v="27775"/>
    <n v="679"/>
    <n v="2.44"/>
    <n v="4614"/>
  </r>
  <r>
    <x v="2"/>
    <x v="2"/>
    <n v="7063"/>
    <n v="538"/>
    <n v="7.62"/>
    <n v="4543"/>
  </r>
  <r>
    <x v="2"/>
    <x v="3"/>
    <n v="6853"/>
    <n v="1608"/>
    <n v="23.46"/>
    <n v="4488"/>
  </r>
  <r>
    <x v="3"/>
    <x v="0"/>
    <n v="1899"/>
    <n v="179"/>
    <n v="9.43"/>
    <n v="15519"/>
  </r>
  <r>
    <x v="3"/>
    <x v="1"/>
    <n v="12052"/>
    <n v="242"/>
    <n v="2.0099999999999998"/>
    <n v="16483"/>
  </r>
  <r>
    <x v="3"/>
    <x v="2"/>
    <n v="3041"/>
    <n v="159"/>
    <n v="5.23"/>
    <n v="16283"/>
  </r>
  <r>
    <x v="3"/>
    <x v="3"/>
    <n v="1249"/>
    <n v="206"/>
    <n v="16.489999999999998"/>
    <n v="164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E9" firstHeaderRow="0" firstDataRow="1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dataField="1" showAll="0"/>
    <pivotField dataField="1"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_defaults" fld="2" baseField="0" baseItem="0"/>
    <dataField name="Sum of total_applicants" fld="1" baseField="0" baseItem="0"/>
    <dataField name="Average of default_rate" fld="3" subtotal="average" baseField="0" baseItem="0"/>
    <dataField name="Average of avg_income" fld="4" subtotal="average" baseField="0" baseItem="0"/>
  </dataFields>
  <formats count="2">
    <format dxfId="6">
      <pivotArea dataOnly="0" outline="0" fieldPosition="0">
        <references count="1">
          <reference field="4294967294" count="1">
            <x v="2"/>
          </reference>
        </references>
      </pivotArea>
    </format>
    <format dxfId="3">
      <pivotArea dataOnly="0" outline="0" fieldPosition="0">
        <references count="1">
          <reference field="4294967294" count="1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F9" firstHeaderRow="1" firstDataRow="2" firstDataCol="1"/>
  <pivotFields count="6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default_rate" fld="4" subtotal="average" baseField="0" baseItem="0"/>
  </dataFields>
  <formats count="2">
    <format dxfId="1">
      <pivotArea dataOnly="0" outline="0" fieldPosition="0">
        <references count="1">
          <reference field="1" count="0"/>
        </references>
      </pivotArea>
    </format>
    <format dxfId="0">
      <pivotArea dataOnly="0" grandCol="1" outline="0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9"/>
  <sheetViews>
    <sheetView workbookViewId="0">
      <selection activeCell="I21" sqref="I21"/>
    </sheetView>
  </sheetViews>
  <sheetFormatPr defaultRowHeight="14.4" x14ac:dyDescent="0.3"/>
  <cols>
    <col min="1" max="1" width="12.5546875" bestFit="1" customWidth="1"/>
    <col min="2" max="2" width="19.33203125" customWidth="1"/>
    <col min="3" max="4" width="21.109375" bestFit="1" customWidth="1"/>
    <col min="5" max="5" width="21" bestFit="1" customWidth="1"/>
  </cols>
  <sheetData>
    <row r="3" spans="1:5" x14ac:dyDescent="0.3">
      <c r="A3" s="2" t="s">
        <v>21</v>
      </c>
      <c r="B3" t="s">
        <v>24</v>
      </c>
      <c r="C3" t="s">
        <v>23</v>
      </c>
      <c r="D3" s="5" t="s">
        <v>25</v>
      </c>
      <c r="E3" s="6" t="s">
        <v>26</v>
      </c>
    </row>
    <row r="4" spans="1:5" x14ac:dyDescent="0.3">
      <c r="A4" s="3" t="s">
        <v>6</v>
      </c>
      <c r="B4" s="4">
        <v>1025</v>
      </c>
      <c r="C4" s="4">
        <v>9134</v>
      </c>
      <c r="D4" s="5">
        <v>11.22</v>
      </c>
      <c r="E4" s="6">
        <v>3412</v>
      </c>
    </row>
    <row r="5" spans="1:5" x14ac:dyDescent="0.3">
      <c r="A5" s="3" t="s">
        <v>7</v>
      </c>
      <c r="B5" s="4">
        <v>2008</v>
      </c>
      <c r="C5" s="4">
        <v>20714</v>
      </c>
      <c r="D5" s="5">
        <v>9.69</v>
      </c>
      <c r="E5" s="6">
        <v>5839</v>
      </c>
    </row>
    <row r="6" spans="1:5" x14ac:dyDescent="0.3">
      <c r="A6" s="3" t="s">
        <v>8</v>
      </c>
      <c r="B6" s="4">
        <v>2418</v>
      </c>
      <c r="C6" s="4">
        <v>29167</v>
      </c>
      <c r="D6" s="5">
        <v>8.2899999999999991</v>
      </c>
      <c r="E6" s="6">
        <v>7463</v>
      </c>
    </row>
    <row r="7" spans="1:5" x14ac:dyDescent="0.3">
      <c r="A7" s="3" t="s">
        <v>9</v>
      </c>
      <c r="B7" s="4">
        <v>1776</v>
      </c>
      <c r="C7" s="4">
        <v>27817</v>
      </c>
      <c r="D7" s="5">
        <v>6.38</v>
      </c>
      <c r="E7" s="6">
        <v>7823</v>
      </c>
    </row>
    <row r="8" spans="1:5" x14ac:dyDescent="0.3">
      <c r="A8" s="3" t="s">
        <v>10</v>
      </c>
      <c r="B8" s="4">
        <v>1067</v>
      </c>
      <c r="C8" s="4">
        <v>33833</v>
      </c>
      <c r="D8" s="5">
        <v>3.15</v>
      </c>
      <c r="E8" s="6">
        <v>6723</v>
      </c>
    </row>
    <row r="9" spans="1:5" x14ac:dyDescent="0.3">
      <c r="A9" s="3" t="s">
        <v>22</v>
      </c>
      <c r="B9" s="4">
        <v>8294</v>
      </c>
      <c r="C9" s="4">
        <v>120665</v>
      </c>
      <c r="D9" s="5">
        <v>7.7459999999999996</v>
      </c>
      <c r="E9" s="6">
        <v>6252</v>
      </c>
    </row>
  </sheetData>
  <sortState columnSort="1" ref="A3:E9">
    <sortCondition descending="1" ref="D3"/>
  </sortState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zoomScaleNormal="100" workbookViewId="0">
      <selection activeCell="I24" sqref="I24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3" width="11.33203125" bestFit="1" customWidth="1"/>
    <col min="4" max="4" width="16.109375" bestFit="1" customWidth="1"/>
    <col min="5" max="5" width="15.44140625" bestFit="1" customWidth="1"/>
    <col min="6" max="6" width="10.77734375" bestFit="1" customWidth="1"/>
  </cols>
  <sheetData>
    <row r="3" spans="1:6" x14ac:dyDescent="0.3">
      <c r="A3" s="2" t="s">
        <v>25</v>
      </c>
      <c r="B3" s="2" t="s">
        <v>27</v>
      </c>
    </row>
    <row r="4" spans="1:6" x14ac:dyDescent="0.3">
      <c r="A4" s="2" t="s">
        <v>21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22</v>
      </c>
    </row>
    <row r="5" spans="1:6" x14ac:dyDescent="0.3">
      <c r="A5" s="3" t="s">
        <v>13</v>
      </c>
      <c r="B5" s="5">
        <v>12.61</v>
      </c>
      <c r="C5" s="5">
        <v>2.29</v>
      </c>
      <c r="D5" s="5">
        <v>5.68</v>
      </c>
      <c r="E5" s="5">
        <v>20.11</v>
      </c>
      <c r="F5" s="5">
        <v>10.172499999999999</v>
      </c>
    </row>
    <row r="6" spans="1:6" x14ac:dyDescent="0.3">
      <c r="A6" s="3" t="s">
        <v>18</v>
      </c>
      <c r="B6" s="5">
        <v>14.7</v>
      </c>
      <c r="C6" s="5">
        <v>2.98</v>
      </c>
      <c r="D6" s="5">
        <v>8.27</v>
      </c>
      <c r="E6" s="5">
        <v>23.42</v>
      </c>
      <c r="F6" s="5">
        <v>12.342500000000001</v>
      </c>
    </row>
    <row r="7" spans="1:6" x14ac:dyDescent="0.3">
      <c r="A7" s="3" t="s">
        <v>19</v>
      </c>
      <c r="B7" s="5">
        <v>14.06</v>
      </c>
      <c r="C7" s="5">
        <v>2.44</v>
      </c>
      <c r="D7" s="5">
        <v>7.62</v>
      </c>
      <c r="E7" s="5">
        <v>23.46</v>
      </c>
      <c r="F7" s="5">
        <v>11.895</v>
      </c>
    </row>
    <row r="8" spans="1:6" x14ac:dyDescent="0.3">
      <c r="A8" s="3" t="s">
        <v>20</v>
      </c>
      <c r="B8" s="5">
        <v>9.43</v>
      </c>
      <c r="C8" s="5">
        <v>2.0099999999999998</v>
      </c>
      <c r="D8" s="5">
        <v>5.23</v>
      </c>
      <c r="E8" s="5">
        <v>16.489999999999998</v>
      </c>
      <c r="F8" s="5">
        <v>8.2899999999999991</v>
      </c>
    </row>
    <row r="9" spans="1:6" x14ac:dyDescent="0.3">
      <c r="A9" s="3" t="s">
        <v>22</v>
      </c>
      <c r="B9" s="5">
        <v>12.7</v>
      </c>
      <c r="C9" s="5">
        <v>2.4299999999999997</v>
      </c>
      <c r="D9" s="5">
        <v>6.7</v>
      </c>
      <c r="E9" s="5">
        <v>20.87</v>
      </c>
      <c r="F9" s="5">
        <v>10.674999999999999</v>
      </c>
    </row>
  </sheetData>
  <conditionalFormatting sqref="D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B5:F9">
    <cfRule type="colorScale" priority="1">
      <colorScale>
        <cfvo type="min"/>
        <cfvo type="percentile" val="50"/>
        <cfvo type="max"/>
        <color rgb="FF63BE7B"/>
        <color rgb="FFFFEB84"/>
        <color theme="5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4.4" x14ac:dyDescent="0.3"/>
  <cols>
    <col min="1" max="1" width="15.33203125" bestFit="1" customWidth="1"/>
    <col min="2" max="2" width="15.44140625" bestFit="1" customWidth="1"/>
    <col min="3" max="3" width="14.5546875" bestFit="1" customWidth="1"/>
    <col min="4" max="4" width="12.6640625" bestFit="1" customWidth="1"/>
    <col min="5" max="5" width="11.33203125" bestFit="1" customWidth="1"/>
    <col min="6" max="6" width="11.21875" bestFit="1" customWidth="1"/>
  </cols>
  <sheetData>
    <row r="1" spans="1:6" x14ac:dyDescent="0.3">
      <c r="A1" s="1" t="s">
        <v>11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13</v>
      </c>
      <c r="B2" t="s">
        <v>14</v>
      </c>
      <c r="C2">
        <v>3649</v>
      </c>
      <c r="D2">
        <v>460</v>
      </c>
      <c r="E2">
        <v>12.61</v>
      </c>
      <c r="F2">
        <v>7737</v>
      </c>
    </row>
    <row r="3" spans="1:6" x14ac:dyDescent="0.3">
      <c r="A3" t="s">
        <v>13</v>
      </c>
      <c r="B3" t="s">
        <v>15</v>
      </c>
      <c r="C3">
        <v>20778</v>
      </c>
      <c r="D3">
        <v>476</v>
      </c>
      <c r="E3">
        <v>2.29</v>
      </c>
      <c r="F3">
        <v>7846</v>
      </c>
    </row>
    <row r="4" spans="1:6" x14ac:dyDescent="0.3">
      <c r="A4" t="s">
        <v>13</v>
      </c>
      <c r="B4" t="s">
        <v>16</v>
      </c>
      <c r="C4">
        <v>5530</v>
      </c>
      <c r="D4">
        <v>314</v>
      </c>
      <c r="E4">
        <v>5.68</v>
      </c>
      <c r="F4">
        <v>7776</v>
      </c>
    </row>
    <row r="5" spans="1:6" x14ac:dyDescent="0.3">
      <c r="A5" t="s">
        <v>13</v>
      </c>
      <c r="B5" t="s">
        <v>17</v>
      </c>
      <c r="C5">
        <v>2800</v>
      </c>
      <c r="D5">
        <v>563</v>
      </c>
      <c r="E5">
        <v>20.11</v>
      </c>
      <c r="F5">
        <v>7670</v>
      </c>
    </row>
    <row r="6" spans="1:6" x14ac:dyDescent="0.3">
      <c r="A6" t="s">
        <v>18</v>
      </c>
      <c r="B6" t="s">
        <v>14</v>
      </c>
      <c r="C6">
        <v>2462</v>
      </c>
      <c r="D6">
        <v>362</v>
      </c>
      <c r="E6">
        <v>14.7</v>
      </c>
      <c r="F6">
        <v>2119</v>
      </c>
    </row>
    <row r="7" spans="1:6" x14ac:dyDescent="0.3">
      <c r="A7" t="s">
        <v>18</v>
      </c>
      <c r="B7" t="s">
        <v>15</v>
      </c>
      <c r="C7">
        <v>12160</v>
      </c>
      <c r="D7">
        <v>362</v>
      </c>
      <c r="E7">
        <v>2.98</v>
      </c>
      <c r="F7">
        <v>2078</v>
      </c>
    </row>
    <row r="8" spans="1:6" x14ac:dyDescent="0.3">
      <c r="A8" t="s">
        <v>18</v>
      </c>
      <c r="B8" t="s">
        <v>16</v>
      </c>
      <c r="C8">
        <v>3106</v>
      </c>
      <c r="D8">
        <v>257</v>
      </c>
      <c r="E8">
        <v>8.27</v>
      </c>
      <c r="F8">
        <v>2122</v>
      </c>
    </row>
    <row r="9" spans="1:6" x14ac:dyDescent="0.3">
      <c r="A9" t="s">
        <v>18</v>
      </c>
      <c r="B9" t="s">
        <v>17</v>
      </c>
      <c r="C9">
        <v>4991</v>
      </c>
      <c r="D9">
        <v>1169</v>
      </c>
      <c r="E9">
        <v>23.42</v>
      </c>
      <c r="F9">
        <v>1994</v>
      </c>
    </row>
    <row r="10" spans="1:6" x14ac:dyDescent="0.3">
      <c r="A10" t="s">
        <v>19</v>
      </c>
      <c r="B10" t="s">
        <v>14</v>
      </c>
      <c r="C10">
        <v>5070</v>
      </c>
      <c r="D10">
        <v>713</v>
      </c>
      <c r="E10">
        <v>14.06</v>
      </c>
      <c r="F10">
        <v>4512</v>
      </c>
    </row>
    <row r="11" spans="1:6" x14ac:dyDescent="0.3">
      <c r="A11" t="s">
        <v>19</v>
      </c>
      <c r="B11" t="s">
        <v>15</v>
      </c>
      <c r="C11">
        <v>27775</v>
      </c>
      <c r="D11">
        <v>679</v>
      </c>
      <c r="E11">
        <v>2.44</v>
      </c>
      <c r="F11">
        <v>4614</v>
      </c>
    </row>
    <row r="12" spans="1:6" x14ac:dyDescent="0.3">
      <c r="A12" t="s">
        <v>19</v>
      </c>
      <c r="B12" t="s">
        <v>16</v>
      </c>
      <c r="C12">
        <v>7063</v>
      </c>
      <c r="D12">
        <v>538</v>
      </c>
      <c r="E12">
        <v>7.62</v>
      </c>
      <c r="F12">
        <v>4543</v>
      </c>
    </row>
    <row r="13" spans="1:6" x14ac:dyDescent="0.3">
      <c r="A13" t="s">
        <v>19</v>
      </c>
      <c r="B13" t="s">
        <v>17</v>
      </c>
      <c r="C13">
        <v>6853</v>
      </c>
      <c r="D13">
        <v>1608</v>
      </c>
      <c r="E13">
        <v>23.46</v>
      </c>
      <c r="F13">
        <v>4488</v>
      </c>
    </row>
    <row r="14" spans="1:6" x14ac:dyDescent="0.3">
      <c r="A14" t="s">
        <v>20</v>
      </c>
      <c r="B14" t="s">
        <v>14</v>
      </c>
      <c r="C14">
        <v>1899</v>
      </c>
      <c r="D14">
        <v>179</v>
      </c>
      <c r="E14">
        <v>9.43</v>
      </c>
      <c r="F14">
        <v>15519</v>
      </c>
    </row>
    <row r="15" spans="1:6" x14ac:dyDescent="0.3">
      <c r="A15" t="s">
        <v>20</v>
      </c>
      <c r="B15" t="s">
        <v>15</v>
      </c>
      <c r="C15">
        <v>12052</v>
      </c>
      <c r="D15">
        <v>242</v>
      </c>
      <c r="E15">
        <v>2.0099999999999998</v>
      </c>
      <c r="F15">
        <v>16483</v>
      </c>
    </row>
    <row r="16" spans="1:6" x14ac:dyDescent="0.3">
      <c r="A16" t="s">
        <v>20</v>
      </c>
      <c r="B16" t="s">
        <v>16</v>
      </c>
      <c r="C16">
        <v>3041</v>
      </c>
      <c r="D16">
        <v>159</v>
      </c>
      <c r="E16">
        <v>5.23</v>
      </c>
      <c r="F16">
        <v>16283</v>
      </c>
    </row>
    <row r="17" spans="1:6" x14ac:dyDescent="0.3">
      <c r="A17" t="s">
        <v>20</v>
      </c>
      <c r="B17" t="s">
        <v>17</v>
      </c>
      <c r="C17">
        <v>1249</v>
      </c>
      <c r="D17">
        <v>206</v>
      </c>
      <c r="E17">
        <v>16.489999999999998</v>
      </c>
      <c r="F17">
        <v>16492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4" sqref="C4"/>
    </sheetView>
  </sheetViews>
  <sheetFormatPr defaultRowHeight="14.4" x14ac:dyDescent="0.3"/>
  <cols>
    <col min="1" max="1" width="10" bestFit="1" customWidth="1"/>
    <col min="2" max="2" width="14.5546875" bestFit="1" customWidth="1"/>
    <col min="3" max="3" width="12.6640625" bestFit="1" customWidth="1"/>
    <col min="4" max="4" width="11.33203125" bestFit="1" customWidth="1"/>
    <col min="5" max="5" width="11.21875" bestFit="1" customWidth="1"/>
    <col min="6" max="6" width="13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9134</v>
      </c>
      <c r="C2">
        <v>1025</v>
      </c>
      <c r="D2">
        <v>11.22</v>
      </c>
      <c r="E2">
        <v>3412</v>
      </c>
      <c r="F2">
        <v>49.95</v>
      </c>
    </row>
    <row r="3" spans="1:6" x14ac:dyDescent="0.3">
      <c r="A3" t="s">
        <v>7</v>
      </c>
      <c r="B3">
        <v>20714</v>
      </c>
      <c r="C3">
        <v>2008</v>
      </c>
      <c r="D3">
        <v>9.69</v>
      </c>
      <c r="E3">
        <v>5839</v>
      </c>
      <c r="F3">
        <v>42.24</v>
      </c>
    </row>
    <row r="4" spans="1:6" x14ac:dyDescent="0.3">
      <c r="A4" t="s">
        <v>8</v>
      </c>
      <c r="B4">
        <v>29167</v>
      </c>
      <c r="C4">
        <v>2418</v>
      </c>
      <c r="D4">
        <v>8.2899999999999991</v>
      </c>
      <c r="E4">
        <v>7463</v>
      </c>
      <c r="F4">
        <v>36.69</v>
      </c>
    </row>
    <row r="5" spans="1:6" x14ac:dyDescent="0.3">
      <c r="A5" t="s">
        <v>9</v>
      </c>
      <c r="B5">
        <v>27817</v>
      </c>
      <c r="C5">
        <v>1776</v>
      </c>
      <c r="D5">
        <v>6.38</v>
      </c>
      <c r="E5">
        <v>7823</v>
      </c>
      <c r="F5">
        <v>31.2</v>
      </c>
    </row>
    <row r="6" spans="1:6" x14ac:dyDescent="0.3">
      <c r="A6" t="s">
        <v>10</v>
      </c>
      <c r="B6">
        <v>33833</v>
      </c>
      <c r="C6">
        <v>1067</v>
      </c>
      <c r="D6">
        <v>3.15</v>
      </c>
      <c r="E6">
        <v>6723</v>
      </c>
      <c r="F6">
        <v>20.69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 Risk Analysis</vt:lpstr>
      <vt:lpstr>Risk Matrix</vt:lpstr>
      <vt:lpstr>Risk Segment Analysis</vt:lpstr>
      <vt:lpstr>Age Group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2026-06-27T13:53:34Z</dcterms:created>
  <dcterms:modified xsi:type="dcterms:W3CDTF">2026-06-27T14:18:11Z</dcterms:modified>
</cp:coreProperties>
</file>